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s\Desktop\"/>
    </mc:Choice>
  </mc:AlternateContent>
  <xr:revisionPtr revIDLastSave="0" documentId="13_ncr:1_{10950EDD-1648-4E89-A2C2-B48422316063}" xr6:coauthVersionLast="47" xr6:coauthVersionMax="47" xr10:uidLastSave="{00000000-0000-0000-0000-000000000000}"/>
  <bookViews>
    <workbookView xWindow="39990" yWindow="2235" windowWidth="28800" windowHeight="15345" xr2:uid="{00000000-000D-0000-FFFF-FFFF00000000}"/>
  </bookViews>
  <sheets>
    <sheet name="Konfigur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K4" i="1" s="1"/>
  <c r="F5" i="1"/>
  <c r="K5" i="1" s="1"/>
  <c r="F2" i="1"/>
  <c r="I5" i="1"/>
  <c r="H5" i="1"/>
  <c r="G5" i="1"/>
  <c r="E5" i="1"/>
  <c r="I4" i="1"/>
  <c r="H4" i="1"/>
  <c r="G4" i="1"/>
  <c r="E4" i="1"/>
  <c r="I2" i="1"/>
  <c r="I3" i="1"/>
  <c r="G2" i="1"/>
  <c r="G3" i="1"/>
  <c r="H3" i="1"/>
  <c r="E3" i="1"/>
  <c r="E2" i="1"/>
  <c r="H2" i="1"/>
  <c r="M5" i="1" l="1"/>
  <c r="L5" i="1"/>
  <c r="J5" i="1"/>
  <c r="M4" i="1"/>
  <c r="J4" i="1"/>
  <c r="L4" i="1"/>
  <c r="M3" i="1"/>
  <c r="J3" i="1"/>
  <c r="K3" i="1"/>
  <c r="L3" i="1"/>
  <c r="L2" i="1"/>
  <c r="M2" i="1"/>
  <c r="J2" i="1"/>
  <c r="K2" i="1"/>
</calcChain>
</file>

<file path=xl/sharedStrings.xml><?xml version="1.0" encoding="utf-8"?>
<sst xmlns="http://schemas.openxmlformats.org/spreadsheetml/2006/main" count="17" uniqueCount="17">
  <si>
    <t>Bezeichnung / Format</t>
  </si>
  <si>
    <t>Innenlänge Kasten L</t>
  </si>
  <si>
    <t xml:space="preserve">Innenbreite Kasten B </t>
  </si>
  <si>
    <t xml:space="preserve">Innenhöhe Kasten H </t>
  </si>
  <si>
    <t xml:space="preserve">Mantel-Höhe </t>
  </si>
  <si>
    <t xml:space="preserve"> 1 Lasche </t>
  </si>
  <si>
    <t xml:space="preserve"> 2 Deckfläche </t>
  </si>
  <si>
    <t xml:space="preserve">3 Rücken </t>
  </si>
  <si>
    <t xml:space="preserve">4 Bodenfläche </t>
  </si>
  <si>
    <t xml:space="preserve">Mantel-Gesamtbreite </t>
  </si>
  <si>
    <t xml:space="preserve">Fräslinie 1 ab links </t>
  </si>
  <si>
    <t xml:space="preserve">Fräslinie 2 ab links </t>
  </si>
  <si>
    <t xml:space="preserve">Fräslinie 3 ab links </t>
  </si>
  <si>
    <t xml:space="preserve">S 162x120x40 Mantel </t>
  </si>
  <si>
    <t>L1 320x235x60 Mantel</t>
  </si>
  <si>
    <t>M 222x163x71 Mantel</t>
  </si>
  <si>
    <t>L2 320x235x120 Mantel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</si>
</sst>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9" sqref="A9"/>
    </sheetView>
  </sheetViews>
  <sheetFormatPr baseColWidth="10" defaultColWidth="8.7109375" defaultRowHeight="15" x14ac:dyDescent="0.25"/>
  <cols>
    <col min="1" max="1" width="23.5703125" customWidth="1"/>
    <col min="2" max="2" width="27.5703125" customWidth="1"/>
    <col min="3" max="4" width="23.85546875" customWidth="1"/>
    <col min="5" max="5" width="18.5703125" customWidth="1"/>
    <col min="6" max="6" width="26.42578125" customWidth="1"/>
    <col min="7" max="8" width="26.140625" customWidth="1"/>
    <col min="9" max="9" width="28.5703125" customWidth="1"/>
    <col min="10" max="10" width="27.28515625" customWidth="1"/>
    <col min="11" max="11" width="24.7109375" customWidth="1"/>
    <col min="12" max="12" width="24.5703125" customWidth="1"/>
    <col min="13" max="13" width="21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168</v>
      </c>
      <c r="C2">
        <v>120</v>
      </c>
      <c r="D2">
        <v>40</v>
      </c>
      <c r="E2">
        <f>B2+6</f>
        <v>174</v>
      </c>
      <c r="F2">
        <f>D2+4</f>
        <v>44</v>
      </c>
      <c r="G2">
        <f>C2+8</f>
        <v>128</v>
      </c>
      <c r="H2">
        <f>D2+7.5</f>
        <v>47.5</v>
      </c>
      <c r="I2">
        <f>C2+5</f>
        <v>125</v>
      </c>
      <c r="J2">
        <f>F2+G2+H2+I2</f>
        <v>344.5</v>
      </c>
      <c r="K2">
        <f>F2</f>
        <v>44</v>
      </c>
      <c r="L2">
        <f>F2+G2</f>
        <v>172</v>
      </c>
      <c r="M2">
        <f>F2+G2+H2</f>
        <v>219.5</v>
      </c>
    </row>
    <row r="3" spans="1:13" x14ac:dyDescent="0.25">
      <c r="A3" t="s">
        <v>14</v>
      </c>
      <c r="B3">
        <v>320</v>
      </c>
      <c r="C3">
        <v>235</v>
      </c>
      <c r="D3">
        <v>60</v>
      </c>
      <c r="E3">
        <f>B3+6</f>
        <v>326</v>
      </c>
      <c r="F3">
        <f t="shared" ref="F3:F5" si="0">D3+4</f>
        <v>64</v>
      </c>
      <c r="G3">
        <f>C3+8</f>
        <v>243</v>
      </c>
      <c r="H3">
        <f>D3+7.5</f>
        <v>67.5</v>
      </c>
      <c r="I3">
        <f>C3+5</f>
        <v>240</v>
      </c>
      <c r="J3">
        <f>F3+G3+H3+I3</f>
        <v>614.5</v>
      </c>
      <c r="K3">
        <f>F3</f>
        <v>64</v>
      </c>
      <c r="L3">
        <f>F3+G3</f>
        <v>307</v>
      </c>
      <c r="M3">
        <f>F3+G3+H3</f>
        <v>374.5</v>
      </c>
    </row>
    <row r="4" spans="1:13" x14ac:dyDescent="0.25">
      <c r="A4" t="s">
        <v>15</v>
      </c>
      <c r="B4">
        <v>222</v>
      </c>
      <c r="C4">
        <v>165</v>
      </c>
      <c r="D4">
        <v>71</v>
      </c>
      <c r="E4">
        <f>B4+6</f>
        <v>228</v>
      </c>
      <c r="F4">
        <f t="shared" si="0"/>
        <v>75</v>
      </c>
      <c r="G4">
        <f>C4+8</f>
        <v>173</v>
      </c>
      <c r="H4">
        <f>D4+7.5</f>
        <v>78.5</v>
      </c>
      <c r="I4">
        <f>C4+5</f>
        <v>170</v>
      </c>
      <c r="J4">
        <f>F4+G4+H4+I4</f>
        <v>496.5</v>
      </c>
      <c r="K4">
        <f>F4</f>
        <v>75</v>
      </c>
      <c r="L4">
        <f>F4+G4</f>
        <v>248</v>
      </c>
      <c r="M4">
        <f>F4+G4+H4</f>
        <v>326.5</v>
      </c>
    </row>
    <row r="5" spans="1:13" x14ac:dyDescent="0.25">
      <c r="A5" t="s">
        <v>16</v>
      </c>
      <c r="B5">
        <v>320</v>
      </c>
      <c r="C5">
        <v>235</v>
      </c>
      <c r="D5">
        <v>120</v>
      </c>
      <c r="E5">
        <f>B5+6</f>
        <v>326</v>
      </c>
      <c r="F5">
        <f t="shared" si="0"/>
        <v>124</v>
      </c>
      <c r="G5">
        <f>C5+8</f>
        <v>243</v>
      </c>
      <c r="H5">
        <f>D5+7.5</f>
        <v>127.5</v>
      </c>
      <c r="I5">
        <f>C5+5</f>
        <v>240</v>
      </c>
      <c r="J5">
        <f>F5+G5+H5+I5</f>
        <v>734.5</v>
      </c>
      <c r="K5">
        <f>F5</f>
        <v>124</v>
      </c>
      <c r="L5">
        <f>F5+G5</f>
        <v>367</v>
      </c>
      <c r="M5">
        <f>F5+G5+H5</f>
        <v>494.5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Konfigurator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Rose, Helena (Dr. Wolff Group)</dc:creator>
  <cp:lastModifiedBy>Viktor Spielmann | IP Adelt GmbH</cp:lastModifiedBy>
  <dcterms:created xsi:type="dcterms:W3CDTF">2026-01-25T20:32:48Z</dcterms:created>
  <dcterms:modified xsi:type="dcterms:W3CDTF">2026-01-26T07:07:51Z</dcterms:modified>
</cp:coreProperties>
</file>